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Dashboard (สรุปรายรับ)" sheetId="2" r:id="rId6"/>
    <sheet state="visible" name="Customers" sheetId="3" r:id="rId7"/>
  </sheets>
  <definedNames/>
  <calcPr/>
</workbook>
</file>

<file path=xl/sharedStrings.xml><?xml version="1.0" encoding="utf-8"?>
<sst xmlns="http://schemas.openxmlformats.org/spreadsheetml/2006/main" count="33" uniqueCount="26">
  <si>
    <t>วันที่จอง</t>
  </si>
  <si>
    <t>ชื่อลูกค้า</t>
  </si>
  <si>
    <t>ที่อยู่/บ้านเลขที่</t>
  </si>
  <si>
    <t>เบอร์โทรศัพท์</t>
  </si>
  <si>
    <t>วันนัดส่งผ้า (Drop-off)</t>
  </si>
  <si>
    <t>วันนัดรับผ้าคืน (Pickup)</t>
  </si>
  <si>
    <t>ผ้าทั่วไป (10.-)</t>
  </si>
  <si>
    <t>ผ้าลินิน (15.-)</t>
  </si>
  <si>
    <t>ชุดสูท (30.-)</t>
  </si>
  <si>
    <t>สถานะงาน : Waiting -&gt; In Queue -&gt; Ironing -&gt; QA Checked -&gt; Ready for Pickup</t>
  </si>
  <si>
    <t>การชำระเงิน Waiting for Slip/Pending Payment/Paid</t>
  </si>
  <si>
    <t>สถานะซ่อม</t>
  </si>
  <si>
    <t>LINE ID</t>
  </si>
  <si>
    <t>Timestamp</t>
  </si>
  <si>
    <t>VIEW</t>
  </si>
  <si>
    <t>4/64</t>
  </si>
  <si>
    <t>28/04/2026</t>
  </si>
  <si>
    <t>Ready for Pickup</t>
  </si>
  <si>
    <t>Paid</t>
  </si>
  <si>
    <t>No Issues</t>
  </si>
  <si>
    <t>U9fa8d5aca1a7977bd8b5a4e0a9c9bdcd</t>
  </si>
  <si>
    <t>เดือน</t>
  </si>
  <si>
    <t>ยอดรายรับ (บาท)</t>
  </si>
  <si>
    <t>Uf3af5e4ffc3886d3ff287c3a69482d0f</t>
  </si>
  <si>
    <t>jen</t>
  </si>
  <si>
    <t>ถ.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</si>
</sst>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m-yyyy"/>
    <numFmt numFmtId="166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  <fill>
      <patternFill patternType="solid">
        <fgColor rgb="FFB7E1CD"/>
        <bgColor rgb="FFB7E1C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Font="1"/>
    <xf borderId="0" fillId="0" fontId="1" numFmtId="0" xfId="0" applyFont="1"/>
    <xf borderId="0" fillId="4" fontId="1" numFmtId="0" xfId="0" applyAlignment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6.88"/>
    <col customWidth="1" min="3" max="3" width="27.0"/>
    <col customWidth="1" min="4" max="4" width="17.13"/>
    <col customWidth="1" min="5" max="6" width="20.25"/>
    <col customWidth="1" min="7" max="7" width="15.63"/>
    <col customWidth="1" min="8" max="8" width="14.75"/>
    <col customWidth="1" min="9" max="9" width="16.5"/>
    <col customWidth="1" min="10" max="10" width="14.63"/>
    <col customWidth="1" min="11" max="11" width="72.5"/>
    <col customWidth="1" min="12" max="12" width="46.5"/>
    <col customWidth="1" min="13" max="13" width="22.25"/>
    <col customWidth="1" min="14" max="14" width="33.63"/>
    <col customWidth="1" min="15" max="1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tr">
        <f t="array" ref="J1:J1000">{"ราคารวม"; IF(A2:A1000="",, (G2:G1000*10)+(H2:H1000*15)+(I2:I1000*30))}</f>
        <v>ราคารวม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46139.948864571765</v>
      </c>
      <c r="B2" s="4" t="s">
        <v>14</v>
      </c>
      <c r="C2" s="4" t="s">
        <v>15</v>
      </c>
      <c r="D2" s="5">
        <v>9.36583648E8</v>
      </c>
      <c r="E2" s="4" t="s">
        <v>16</v>
      </c>
      <c r="F2" s="3">
        <v>46141.948864571765</v>
      </c>
      <c r="G2" s="4">
        <v>1.0</v>
      </c>
      <c r="H2" s="4">
        <v>10.0</v>
      </c>
      <c r="I2" s="4">
        <v>20.0</v>
      </c>
      <c r="J2" s="6">
        <v>760.0</v>
      </c>
      <c r="K2" s="4" t="s">
        <v>17</v>
      </c>
      <c r="L2" s="4" t="s">
        <v>18</v>
      </c>
      <c r="M2" s="4" t="s">
        <v>19</v>
      </c>
      <c r="N2" s="4" t="s">
        <v>20</v>
      </c>
      <c r="O2" s="3">
        <v>46139.97358380787</v>
      </c>
      <c r="P2" s="7" t="str">
        <f>TEXT(A2, "MMM-YYYY")</f>
        <v>Apr-2026</v>
      </c>
    </row>
    <row r="3">
      <c r="A3" s="3"/>
      <c r="F3" s="3"/>
      <c r="J3" s="8"/>
      <c r="O3" s="3"/>
    </row>
    <row r="4">
      <c r="A4" s="3"/>
      <c r="F4" s="3"/>
      <c r="J4" s="8"/>
      <c r="O4" s="3"/>
    </row>
    <row r="5">
      <c r="J5" s="8"/>
    </row>
    <row r="6">
      <c r="J6" s="8"/>
    </row>
    <row r="7">
      <c r="J7" s="8"/>
    </row>
    <row r="8">
      <c r="J8" s="8"/>
    </row>
    <row r="9">
      <c r="J9" s="8"/>
    </row>
    <row r="10">
      <c r="J10" s="8"/>
    </row>
    <row r="11">
      <c r="J11" s="8"/>
    </row>
    <row r="12">
      <c r="J12" s="8"/>
    </row>
    <row r="13">
      <c r="J13" s="8"/>
    </row>
    <row r="14">
      <c r="J14" s="8"/>
    </row>
    <row r="15">
      <c r="J15" s="8"/>
    </row>
    <row r="16">
      <c r="J16" s="8"/>
    </row>
    <row r="17">
      <c r="J17" s="8"/>
    </row>
    <row r="18">
      <c r="J18" s="8"/>
    </row>
    <row r="19">
      <c r="H19" s="4"/>
      <c r="I19" s="4"/>
      <c r="J19" s="8"/>
    </row>
    <row r="20">
      <c r="J20" s="8"/>
    </row>
    <row r="21">
      <c r="J21" s="8"/>
    </row>
    <row r="22">
      <c r="J22" s="8"/>
    </row>
    <row r="23">
      <c r="J23" s="8"/>
    </row>
    <row r="24">
      <c r="J24" s="8"/>
    </row>
    <row r="25">
      <c r="J25" s="8"/>
    </row>
    <row r="26">
      <c r="J26" s="8"/>
    </row>
    <row r="27">
      <c r="J27" s="8"/>
    </row>
    <row r="28">
      <c r="J28" s="8"/>
    </row>
    <row r="29">
      <c r="J29" s="8"/>
    </row>
    <row r="30">
      <c r="J30" s="8"/>
    </row>
    <row r="31">
      <c r="J31" s="8"/>
    </row>
    <row r="32">
      <c r="J32" s="8"/>
    </row>
    <row r="33">
      <c r="J33" s="8"/>
    </row>
    <row r="34">
      <c r="J34" s="8"/>
    </row>
    <row r="35">
      <c r="J35" s="8"/>
    </row>
    <row r="36">
      <c r="J36" s="8"/>
    </row>
    <row r="37">
      <c r="J37" s="8"/>
    </row>
    <row r="38">
      <c r="J38" s="8"/>
    </row>
    <row r="39">
      <c r="J39" s="8"/>
    </row>
    <row r="40">
      <c r="J40" s="8"/>
    </row>
    <row r="41">
      <c r="J41" s="8"/>
    </row>
    <row r="42">
      <c r="J42" s="8"/>
    </row>
    <row r="43">
      <c r="J43" s="8"/>
    </row>
    <row r="44">
      <c r="J44" s="8"/>
    </row>
    <row r="45">
      <c r="J45" s="8"/>
    </row>
    <row r="46">
      <c r="J46" s="8"/>
    </row>
    <row r="47">
      <c r="J47" s="8"/>
    </row>
    <row r="48">
      <c r="J48" s="8"/>
    </row>
    <row r="49">
      <c r="J49" s="8"/>
    </row>
    <row r="50">
      <c r="J50" s="8"/>
    </row>
    <row r="51">
      <c r="J51" s="8"/>
    </row>
    <row r="52">
      <c r="J52" s="8"/>
    </row>
    <row r="53">
      <c r="J53" s="8"/>
    </row>
    <row r="54">
      <c r="J54" s="8"/>
    </row>
    <row r="55">
      <c r="J55" s="8"/>
    </row>
    <row r="56">
      <c r="J56" s="8"/>
    </row>
    <row r="57">
      <c r="J57" s="8"/>
    </row>
    <row r="58">
      <c r="J58" s="8"/>
    </row>
    <row r="59">
      <c r="J59" s="8"/>
    </row>
    <row r="60">
      <c r="J60" s="8"/>
    </row>
    <row r="61">
      <c r="J61" s="8"/>
    </row>
    <row r="62">
      <c r="J62" s="8"/>
    </row>
    <row r="63">
      <c r="J63" s="8"/>
    </row>
    <row r="64">
      <c r="J64" s="8"/>
    </row>
    <row r="65">
      <c r="J65" s="8"/>
    </row>
    <row r="66">
      <c r="J66" s="8"/>
    </row>
    <row r="67">
      <c r="J67" s="8"/>
    </row>
    <row r="68">
      <c r="J68" s="8"/>
    </row>
    <row r="69">
      <c r="J69" s="8"/>
    </row>
    <row r="70">
      <c r="J70" s="8"/>
    </row>
    <row r="71">
      <c r="J71" s="8"/>
    </row>
    <row r="72">
      <c r="J72" s="8"/>
    </row>
    <row r="73">
      <c r="J73" s="8"/>
    </row>
    <row r="74">
      <c r="J74" s="8"/>
    </row>
    <row r="75">
      <c r="J75" s="8"/>
    </row>
    <row r="76">
      <c r="J76" s="8"/>
    </row>
    <row r="77">
      <c r="J77" s="8"/>
    </row>
    <row r="78">
      <c r="J78" s="8"/>
    </row>
    <row r="79">
      <c r="J79" s="8"/>
    </row>
    <row r="80">
      <c r="J80" s="8"/>
    </row>
    <row r="81">
      <c r="J81" s="8"/>
    </row>
    <row r="82">
      <c r="J82" s="8"/>
    </row>
    <row r="83">
      <c r="J83" s="8"/>
    </row>
    <row r="84">
      <c r="J84" s="8"/>
    </row>
    <row r="85">
      <c r="J85" s="8"/>
    </row>
    <row r="86">
      <c r="J86" s="8"/>
    </row>
    <row r="87">
      <c r="J87" s="8"/>
    </row>
    <row r="88">
      <c r="J88" s="8"/>
    </row>
    <row r="89">
      <c r="J89" s="8"/>
    </row>
    <row r="90">
      <c r="J90" s="8"/>
    </row>
    <row r="91">
      <c r="J91" s="8"/>
    </row>
    <row r="92">
      <c r="J92" s="8"/>
    </row>
    <row r="93">
      <c r="J93" s="8"/>
    </row>
    <row r="94">
      <c r="J94" s="8"/>
    </row>
    <row r="95">
      <c r="J95" s="8"/>
    </row>
    <row r="96">
      <c r="J96" s="8"/>
    </row>
    <row r="97">
      <c r="J97" s="8"/>
    </row>
    <row r="98">
      <c r="J98" s="8"/>
    </row>
    <row r="99">
      <c r="J99" s="8"/>
    </row>
    <row r="100">
      <c r="J100" s="8"/>
    </row>
    <row r="101">
      <c r="J101" s="8"/>
    </row>
    <row r="102">
      <c r="J102" s="8"/>
    </row>
    <row r="103">
      <c r="J103" s="8"/>
    </row>
    <row r="104">
      <c r="J104" s="8"/>
    </row>
    <row r="105">
      <c r="J105" s="8"/>
    </row>
    <row r="106">
      <c r="J106" s="8"/>
    </row>
    <row r="107">
      <c r="J107" s="8"/>
    </row>
    <row r="108">
      <c r="J108" s="8"/>
    </row>
    <row r="109">
      <c r="J109" s="8"/>
    </row>
    <row r="110">
      <c r="J110" s="8"/>
    </row>
    <row r="111">
      <c r="J111" s="8"/>
    </row>
    <row r="112">
      <c r="J112" s="8"/>
    </row>
    <row r="113">
      <c r="J113" s="8"/>
    </row>
    <row r="114">
      <c r="J114" s="8"/>
    </row>
    <row r="115">
      <c r="J115" s="8"/>
    </row>
    <row r="116">
      <c r="J116" s="8"/>
    </row>
    <row r="117">
      <c r="J117" s="8"/>
    </row>
    <row r="118">
      <c r="J118" s="8"/>
    </row>
    <row r="119">
      <c r="J119" s="8"/>
    </row>
    <row r="120">
      <c r="J120" s="8"/>
    </row>
    <row r="121">
      <c r="J121" s="8"/>
    </row>
    <row r="122">
      <c r="J122" s="8"/>
    </row>
    <row r="123">
      <c r="J123" s="8"/>
    </row>
    <row r="124">
      <c r="J124" s="8"/>
    </row>
    <row r="125">
      <c r="J125" s="8"/>
    </row>
    <row r="126">
      <c r="J126" s="8"/>
    </row>
    <row r="127">
      <c r="J127" s="8"/>
    </row>
    <row r="128">
      <c r="J128" s="8"/>
    </row>
    <row r="129">
      <c r="J129" s="8"/>
    </row>
    <row r="130">
      <c r="J130" s="8"/>
    </row>
    <row r="131">
      <c r="J131" s="8"/>
    </row>
    <row r="132">
      <c r="J132" s="8"/>
    </row>
    <row r="133">
      <c r="J133" s="8"/>
    </row>
    <row r="134">
      <c r="J134" s="8"/>
    </row>
    <row r="135">
      <c r="J135" s="8"/>
    </row>
    <row r="136">
      <c r="A136" s="3"/>
      <c r="J136" s="8"/>
    </row>
    <row r="137">
      <c r="A137" s="3"/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</sheetData>
  <conditionalFormatting sqref="J1:J100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5"/>
  </cols>
  <sheetData>
    <row r="1">
      <c r="A1" s="9" t="s">
        <v>21</v>
      </c>
      <c r="B1" s="9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46113.0</v>
      </c>
      <c r="B2" s="7">
        <f>SUMIFS(Orders!J:J, Orders!L:L, "Paid", Orders!P:P, "Apr-2026")</f>
        <v>760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3" max="3" width="26.5"/>
    <col customWidth="1" min="4" max="4" width="20.75"/>
  </cols>
  <sheetData>
    <row r="1">
      <c r="A1" s="11" t="s">
        <v>12</v>
      </c>
      <c r="B1" s="11" t="s">
        <v>1</v>
      </c>
      <c r="C1" s="11" t="s">
        <v>2</v>
      </c>
      <c r="D1" s="11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20</v>
      </c>
      <c r="B2" s="4" t="s">
        <v>14</v>
      </c>
      <c r="C2" s="4" t="s">
        <v>15</v>
      </c>
      <c r="D2" s="4">
        <v>9.36583648E8</v>
      </c>
    </row>
    <row r="3">
      <c r="A3" s="4" t="s">
        <v>23</v>
      </c>
      <c r="B3" s="4" t="s">
        <v>24</v>
      </c>
      <c r="C3" s="13">
        <v>46266.0</v>
      </c>
      <c r="D3" s="4" t="s">
        <v>25</v>
      </c>
    </row>
  </sheetData>
  <drawing r:id="rId1"/>
</worksheet>
</file>